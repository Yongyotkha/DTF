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oup1\AD Case ไต่สวนท่อเวียดนาม\แบบสอบถาม_ผู้ส่งออก\"/>
    </mc:Choice>
  </mc:AlternateContent>
  <bookViews>
    <workbookView xWindow="360" yWindow="45" windowWidth="21015" windowHeight="997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F12" i="1" l="1"/>
  <c r="G12" i="1"/>
  <c r="H12" i="1"/>
  <c r="I12" i="1"/>
  <c r="J12" i="1"/>
  <c r="K12" i="1"/>
  <c r="E12" i="1"/>
</calcChain>
</file>

<file path=xl/sharedStrings.xml><?xml version="1.0" encoding="utf-8"?>
<sst xmlns="http://schemas.openxmlformats.org/spreadsheetml/2006/main" count="48" uniqueCount="30">
  <si>
    <t>Individual Rate</t>
  </si>
  <si>
    <t>Full QN</t>
  </si>
  <si>
    <t>Capacity (All)</t>
  </si>
  <si>
    <t>Production (All)</t>
  </si>
  <si>
    <t>Capacity (SM)</t>
  </si>
  <si>
    <t>Production (SM)</t>
  </si>
  <si>
    <t>Dom Q</t>
  </si>
  <si>
    <t>TH Q</t>
  </si>
  <si>
    <t>3rd</t>
  </si>
  <si>
    <t>Vina One Steel Manufacturing Corporation</t>
  </si>
  <si>
    <t>No</t>
  </si>
  <si>
    <t>Yes</t>
  </si>
  <si>
    <t>Binh Duong Steel Joint Stock Company</t>
  </si>
  <si>
    <t>Sendo Steel pipe Joint Venture Co., Ltd.</t>
  </si>
  <si>
    <t>Nguyen Minh Steel Group Joint Stock Company</t>
  </si>
  <si>
    <t>N/A</t>
  </si>
  <si>
    <t xml:space="preserve"> HaoSen  Group Co., Ltd</t>
  </si>
  <si>
    <t>TVP Steel Joint Stock Company</t>
  </si>
  <si>
    <t>Nam Kim Steel Joint Stock Company&amp;Nam Kim Steel Pipe Limited Company</t>
  </si>
  <si>
    <t>Maruichi Sun Steel Joint Stock Company &amp; Maruichi Sun Steel (Hanoi) Co., Ltd</t>
  </si>
  <si>
    <t xml:space="preserve"> SeAH Steel Vina Corporation</t>
  </si>
  <si>
    <t>NA</t>
  </si>
  <si>
    <t>Dai ThienLoc Corporation</t>
  </si>
  <si>
    <t>รวม</t>
  </si>
  <si>
    <t>Vietnam Steel Pipe Corp.</t>
  </si>
  <si>
    <t>Vietnam Haiphong Hongyuan Machinery Manufactory</t>
  </si>
  <si>
    <t xml:space="preserve"> HaoPhat Steel Pipe Co., Ltd.</t>
  </si>
  <si>
    <t>Huu Lien Asia Corporation</t>
  </si>
  <si>
    <t>Nippon Steel &amp;Sumikin Pipe Vietnam Co., Ltd.</t>
  </si>
  <si>
    <t>Vietnam Germany Steel Joint Stock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</si>
</sst>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theme="1"/>
      <name val="Tahoma"/>
      <family val="2"/>
      <scheme val="minor"/>
    </font>
    <font>
      <sz val="16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43" fontId="2" fillId="0" borderId="1" xfId="1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 wrapText="1"/>
    </xf>
    <xf numFmtId="43" fontId="3" fillId="0" borderId="1" xfId="1" applyFont="1" applyFill="1" applyBorder="1" applyAlignment="1">
      <alignment horizontal="center" vertical="center"/>
    </xf>
    <xf numFmtId="0" fontId="5" fillId="0" borderId="0" xfId="0" applyFont="1"/>
    <xf numFmtId="43" fontId="2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3" fontId="3" fillId="0" borderId="2" xfId="1" applyFont="1" applyFill="1" applyBorder="1" applyAlignment="1">
      <alignment horizontal="center" vertical="center"/>
    </xf>
    <xf numFmtId="0" fontId="5" fillId="0" borderId="1" xfId="0" applyFont="1" applyBorder="1"/>
    <xf numFmtId="43" fontId="2" fillId="0" borderId="3" xfId="1" applyFont="1" applyFill="1" applyBorder="1" applyAlignment="1">
      <alignment horizontal="right" vertical="center"/>
    </xf>
    <xf numFmtId="43" fontId="3" fillId="0" borderId="4" xfId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topLeftCell="B1" zoomScale="120" zoomScaleNormal="120" workbookViewId="0">
      <selection activeCell="D15" sqref="D15"/>
    </sheetView>
  </sheetViews>
  <sheetFormatPr defaultColWidth="9.125" defaultRowHeight="19.5" x14ac:dyDescent="0.25"/>
  <cols>
    <col min="1" max="1" width="3" style="7" bestFit="1" customWidth="1"/>
    <col min="2" max="2" width="65.625" style="7" bestFit="1" customWidth="1"/>
    <col min="3" max="3" width="16" style="7" bestFit="1" customWidth="1"/>
    <col min="4" max="4" width="9.25" style="7" bestFit="1" customWidth="1"/>
    <col min="5" max="5" width="14.75" style="7" bestFit="1" customWidth="1"/>
    <col min="6" max="6" width="16.625" style="7" bestFit="1" customWidth="1"/>
    <col min="7" max="7" width="15.125" style="7" bestFit="1" customWidth="1"/>
    <col min="8" max="8" width="17" style="7" bestFit="1" customWidth="1"/>
    <col min="9" max="11" width="11.25" style="7" bestFit="1" customWidth="1"/>
    <col min="12" max="16384" width="9.125" style="7"/>
  </cols>
  <sheetData>
    <row r="1" spans="1:11" ht="23.25" x14ac:dyDescent="0.25">
      <c r="A1" s="4"/>
      <c r="B1" s="5"/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ht="23.25" x14ac:dyDescent="0.25">
      <c r="A2" s="15">
        <v>1</v>
      </c>
      <c r="B2" s="16" t="s">
        <v>9</v>
      </c>
      <c r="C2" s="17" t="s">
        <v>10</v>
      </c>
      <c r="D2" s="17" t="s">
        <v>11</v>
      </c>
      <c r="E2" s="18">
        <v>486838</v>
      </c>
      <c r="F2" s="18">
        <v>304660</v>
      </c>
      <c r="G2" s="18">
        <v>306838</v>
      </c>
      <c r="H2" s="18">
        <v>255699</v>
      </c>
      <c r="I2" s="18">
        <v>69488</v>
      </c>
      <c r="J2" s="18">
        <v>58001.582999999999</v>
      </c>
      <c r="K2" s="18">
        <v>110243.12699999999</v>
      </c>
    </row>
    <row r="3" spans="1:11" ht="23.25" x14ac:dyDescent="0.25">
      <c r="A3" s="19">
        <v>2</v>
      </c>
      <c r="B3" s="16" t="s">
        <v>12</v>
      </c>
      <c r="C3" s="17" t="s">
        <v>11</v>
      </c>
      <c r="D3" s="17" t="s">
        <v>11</v>
      </c>
      <c r="E3" s="18">
        <v>204000</v>
      </c>
      <c r="F3" s="18">
        <v>155406</v>
      </c>
      <c r="G3" s="18">
        <v>84000</v>
      </c>
      <c r="H3" s="18">
        <v>62563</v>
      </c>
      <c r="I3" s="18">
        <v>0</v>
      </c>
      <c r="J3" s="18">
        <v>53628.62</v>
      </c>
      <c r="K3" s="18">
        <v>6040</v>
      </c>
    </row>
    <row r="4" spans="1:11" ht="23.25" x14ac:dyDescent="0.25">
      <c r="A4" s="15">
        <v>3</v>
      </c>
      <c r="B4" s="16" t="s">
        <v>13</v>
      </c>
      <c r="C4" s="17" t="s">
        <v>11</v>
      </c>
      <c r="D4" s="17" t="s">
        <v>11</v>
      </c>
      <c r="E4" s="18">
        <v>60000</v>
      </c>
      <c r="F4" s="18">
        <v>57469</v>
      </c>
      <c r="G4" s="18">
        <v>60000</v>
      </c>
      <c r="H4" s="18">
        <v>57469</v>
      </c>
      <c r="I4" s="18">
        <v>34440</v>
      </c>
      <c r="J4" s="18">
        <v>22079</v>
      </c>
      <c r="K4" s="18">
        <v>949.96</v>
      </c>
    </row>
    <row r="5" spans="1:11" ht="23.25" x14ac:dyDescent="0.25">
      <c r="A5" s="19">
        <v>4</v>
      </c>
      <c r="B5" s="16" t="s">
        <v>14</v>
      </c>
      <c r="C5" s="17" t="s">
        <v>10</v>
      </c>
      <c r="D5" s="17" t="s">
        <v>11</v>
      </c>
      <c r="E5" s="18">
        <v>495108</v>
      </c>
      <c r="F5" s="18">
        <v>202676</v>
      </c>
      <c r="G5" s="18">
        <v>150000</v>
      </c>
      <c r="H5" s="18">
        <v>111661</v>
      </c>
      <c r="I5" s="18" t="s">
        <v>15</v>
      </c>
      <c r="J5" s="18">
        <v>17994.29</v>
      </c>
      <c r="K5" s="18" t="s">
        <v>15</v>
      </c>
    </row>
    <row r="6" spans="1:11" ht="23.25" x14ac:dyDescent="0.25">
      <c r="A6" s="1">
        <v>5</v>
      </c>
      <c r="B6" s="2" t="s">
        <v>16</v>
      </c>
      <c r="C6" s="8" t="s">
        <v>11</v>
      </c>
      <c r="D6" s="8" t="s">
        <v>11</v>
      </c>
      <c r="E6" s="3">
        <v>4439693</v>
      </c>
      <c r="F6" s="3">
        <v>3023257.2322869785</v>
      </c>
      <c r="G6" s="3">
        <v>1007880</v>
      </c>
      <c r="H6" s="3">
        <v>446960.25</v>
      </c>
      <c r="I6" s="3">
        <v>423351</v>
      </c>
      <c r="J6" s="3">
        <v>16492</v>
      </c>
      <c r="K6" s="3">
        <v>11417</v>
      </c>
    </row>
    <row r="7" spans="1:11" ht="23.25" x14ac:dyDescent="0.25">
      <c r="A7" s="9">
        <v>6</v>
      </c>
      <c r="B7" s="2" t="s">
        <v>17</v>
      </c>
      <c r="C7" s="8" t="s">
        <v>11</v>
      </c>
      <c r="D7" s="8" t="s">
        <v>11</v>
      </c>
      <c r="E7" s="3">
        <v>2146000</v>
      </c>
      <c r="F7" s="3">
        <v>554243.79</v>
      </c>
      <c r="G7" s="3">
        <v>360000</v>
      </c>
      <c r="H7" s="3">
        <v>130275.16</v>
      </c>
      <c r="I7" s="3">
        <v>42164.54</v>
      </c>
      <c r="J7" s="3">
        <v>15982.03</v>
      </c>
      <c r="K7" s="3">
        <v>89418.73</v>
      </c>
    </row>
    <row r="8" spans="1:11" ht="23.25" x14ac:dyDescent="0.25">
      <c r="A8" s="1">
        <v>7</v>
      </c>
      <c r="B8" s="2" t="s">
        <v>18</v>
      </c>
      <c r="C8" s="8" t="s">
        <v>11</v>
      </c>
      <c r="D8" s="8" t="s">
        <v>11</v>
      </c>
      <c r="E8" s="3">
        <v>4241000</v>
      </c>
      <c r="F8" s="3">
        <v>2781147</v>
      </c>
      <c r="G8" s="3">
        <v>475000</v>
      </c>
      <c r="H8" s="3">
        <v>154024</v>
      </c>
      <c r="I8" s="3">
        <v>152541.41100000002</v>
      </c>
      <c r="J8" s="3">
        <v>4154.7</v>
      </c>
      <c r="K8" s="3">
        <v>148.00399999999999</v>
      </c>
    </row>
    <row r="9" spans="1:11" ht="23.25" x14ac:dyDescent="0.25">
      <c r="A9" s="9">
        <v>8</v>
      </c>
      <c r="B9" s="2" t="s">
        <v>19</v>
      </c>
      <c r="C9" s="8" t="s">
        <v>11</v>
      </c>
      <c r="D9" s="8" t="s">
        <v>11</v>
      </c>
      <c r="E9" s="3">
        <v>78000</v>
      </c>
      <c r="F9" s="3">
        <v>40124</v>
      </c>
      <c r="G9" s="3">
        <v>78000</v>
      </c>
      <c r="H9" s="3">
        <v>39896</v>
      </c>
      <c r="I9" s="3">
        <v>14306</v>
      </c>
      <c r="J9" s="3">
        <v>4026</v>
      </c>
      <c r="K9" s="3">
        <v>7540</v>
      </c>
    </row>
    <row r="10" spans="1:11" ht="23.25" x14ac:dyDescent="0.25">
      <c r="A10" s="1">
        <v>9</v>
      </c>
      <c r="B10" s="2" t="s">
        <v>20</v>
      </c>
      <c r="C10" s="8" t="s">
        <v>21</v>
      </c>
      <c r="D10" s="8" t="s">
        <v>11</v>
      </c>
      <c r="E10" s="3">
        <v>220000</v>
      </c>
      <c r="F10" s="3">
        <v>168769</v>
      </c>
      <c r="G10" s="3">
        <v>220000</v>
      </c>
      <c r="H10" s="3">
        <v>168769</v>
      </c>
      <c r="I10" s="3">
        <v>39011.995000000003</v>
      </c>
      <c r="J10" s="3">
        <v>586.56100000000004</v>
      </c>
      <c r="K10" s="3">
        <v>131592.891</v>
      </c>
    </row>
    <row r="11" spans="1:11" ht="23.25" x14ac:dyDescent="0.25">
      <c r="A11" s="9">
        <v>10</v>
      </c>
      <c r="B11" s="2" t="s">
        <v>22</v>
      </c>
      <c r="C11" s="8" t="s">
        <v>10</v>
      </c>
      <c r="D11" s="8" t="s">
        <v>11</v>
      </c>
      <c r="E11" s="3">
        <v>1810000</v>
      </c>
      <c r="F11" s="3">
        <v>206928</v>
      </c>
      <c r="G11" s="3">
        <v>100000</v>
      </c>
      <c r="H11" s="3">
        <v>3727</v>
      </c>
      <c r="I11" s="3">
        <v>6688</v>
      </c>
      <c r="J11" s="3">
        <v>0</v>
      </c>
      <c r="K11" s="3">
        <v>1136</v>
      </c>
    </row>
    <row r="12" spans="1:11" ht="24" thickBot="1" x14ac:dyDescent="0.3">
      <c r="A12" s="9"/>
      <c r="B12" s="10" t="s">
        <v>23</v>
      </c>
      <c r="C12" s="11"/>
      <c r="D12" s="11"/>
      <c r="E12" s="14">
        <f>SUM(E2:E11)</f>
        <v>14180639</v>
      </c>
      <c r="F12" s="14">
        <f t="shared" ref="F12:K12" si="0">SUM(F2:F11)</f>
        <v>7494680.0222869786</v>
      </c>
      <c r="G12" s="14">
        <f t="shared" si="0"/>
        <v>2841718</v>
      </c>
      <c r="H12" s="14">
        <f t="shared" si="0"/>
        <v>1431043.41</v>
      </c>
      <c r="I12" s="14">
        <f t="shared" si="0"/>
        <v>781990.94600000011</v>
      </c>
      <c r="J12" s="14">
        <f t="shared" si="0"/>
        <v>192944.78400000001</v>
      </c>
      <c r="K12" s="14">
        <f t="shared" si="0"/>
        <v>358485.71199999994</v>
      </c>
    </row>
    <row r="13" spans="1:11" ht="24" thickTop="1" x14ac:dyDescent="0.25">
      <c r="A13" s="1">
        <v>11</v>
      </c>
      <c r="B13" s="2" t="s">
        <v>24</v>
      </c>
      <c r="C13" s="8"/>
      <c r="D13" s="8"/>
      <c r="E13" s="13"/>
      <c r="F13" s="13"/>
      <c r="G13" s="13"/>
      <c r="H13" s="13"/>
      <c r="I13" s="13"/>
      <c r="J13" s="13"/>
      <c r="K13" s="13"/>
    </row>
    <row r="14" spans="1:11" ht="23.25" x14ac:dyDescent="0.25">
      <c r="A14" s="1">
        <v>12</v>
      </c>
      <c r="B14" s="2" t="s">
        <v>25</v>
      </c>
      <c r="C14" s="8"/>
      <c r="D14" s="8"/>
      <c r="E14" s="3"/>
      <c r="F14" s="3"/>
      <c r="G14" s="3"/>
      <c r="H14" s="3"/>
      <c r="I14" s="3"/>
      <c r="J14" s="3"/>
      <c r="K14" s="3"/>
    </row>
    <row r="15" spans="1:11" ht="23.25" x14ac:dyDescent="0.25">
      <c r="A15" s="1">
        <v>13</v>
      </c>
      <c r="B15" s="2" t="s">
        <v>26</v>
      </c>
      <c r="C15" s="8"/>
      <c r="D15" s="8"/>
      <c r="E15" s="3"/>
      <c r="F15" s="3"/>
      <c r="G15" s="3"/>
      <c r="H15" s="3"/>
      <c r="I15" s="3"/>
      <c r="J15" s="3"/>
      <c r="K15" s="3"/>
    </row>
    <row r="16" spans="1:11" ht="23.25" x14ac:dyDescent="0.25">
      <c r="A16" s="1">
        <v>14</v>
      </c>
      <c r="B16" s="2" t="s">
        <v>27</v>
      </c>
      <c r="C16" s="8"/>
      <c r="D16" s="8"/>
      <c r="E16" s="3"/>
      <c r="F16" s="3"/>
      <c r="G16" s="3"/>
      <c r="H16" s="3"/>
      <c r="I16" s="3"/>
      <c r="J16" s="3"/>
      <c r="K16" s="3"/>
    </row>
    <row r="17" spans="1:11" ht="23.25" x14ac:dyDescent="0.25">
      <c r="A17" s="1">
        <v>15</v>
      </c>
      <c r="B17" s="2" t="s">
        <v>28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1" ht="23.25" x14ac:dyDescent="0.25">
      <c r="A18" s="1">
        <v>16</v>
      </c>
      <c r="B18" s="2" t="s">
        <v>29</v>
      </c>
      <c r="C18" s="12"/>
      <c r="D18" s="12"/>
      <c r="E18" s="12"/>
      <c r="F18" s="12"/>
      <c r="G18" s="12"/>
      <c r="H18" s="12"/>
      <c r="I18" s="12"/>
      <c r="J18" s="12"/>
      <c r="K18" s="12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tianthipb</dc:creator>
  <cp:lastModifiedBy>siriyakorn kongkan</cp:lastModifiedBy>
  <dcterms:created xsi:type="dcterms:W3CDTF">2019-01-11T07:15:33Z</dcterms:created>
  <dcterms:modified xsi:type="dcterms:W3CDTF">2019-02-01T04:14:16Z</dcterms:modified>
</cp:coreProperties>
</file>